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aratilgan qiymat 2025-2026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C: 1 bosh tovuqdan chiqadigan go'sht (kg) — kiritiladi
D: yillik hajm (kg) = C x E
E: yillik tovuq soni — kiritiladi</t>
        </r>
      </text>
    </comment>
    <comment ref="B19" authorId="0">
      <text>
        <r>
          <rPr>
            <sz val="10"/>
            <rFont val="Arial"/>
            <family val="2"/>
          </rPr>
          <t xml:space="preserve">C: 1 bosh tovuqdan chiqadigan go'sht (kg) — kiritiladi
D: yillik hajm (kg) = C x E
E: yillik tovuq soni — kiritiladi</t>
        </r>
      </text>
    </comment>
    <comment ref="G6" authorId="0">
      <text>
        <r>
          <rPr>
            <sz val="10"/>
            <rFont val="Arial"/>
            <family val="2"/>
          </rPr>
          <t xml:space="preserve">Qo'shilgan qiymat bilan narx = jami qiymat / 2.5 kg (bir bosh tovuq go'shti)</t>
        </r>
      </text>
    </comment>
    <comment ref="G22" authorId="0">
      <text>
        <r>
          <rPr>
            <sz val="10"/>
            <rFont val="Arial"/>
            <family val="2"/>
          </rPr>
          <t xml:space="preserve">Qo'shilgan qiymat bilan narx = jami qiymat / 2.5 kg (bir bosh tovuq go'shti)</t>
        </r>
      </text>
    </comment>
    <comment ref="H6" authorId="0">
      <text>
        <r>
          <rPr>
            <sz val="10"/>
            <rFont val="Arial"/>
            <family val="2"/>
          </rPr>
          <t xml:space="preserve">Avvalgi (bazaviy) 1 kg narx — kiritiladi</t>
        </r>
      </text>
    </comment>
    <comment ref="H22" authorId="0">
      <text>
        <r>
          <rPr>
            <sz val="10"/>
            <rFont val="Arial"/>
            <family val="2"/>
          </rPr>
          <t xml:space="preserve">Avvalgi (bazaviy) 1 kg narx — kiritiladi</t>
        </r>
      </text>
    </comment>
    <comment ref="J6" authorId="0">
      <text>
        <r>
          <rPr>
            <sz val="10"/>
            <rFont val="Arial"/>
            <family val="2"/>
          </rPr>
          <t xml:space="preserve">1 kg uchun xarajat — kiritiladi</t>
        </r>
      </text>
    </comment>
    <comment ref="J22" authorId="0">
      <text>
        <r>
          <rPr>
            <sz val="10"/>
            <rFont val="Arial"/>
            <family val="2"/>
          </rPr>
          <t xml:space="preserve">1 kg uchun xarajat — kiritiladi</t>
        </r>
      </text>
    </comment>
    <comment ref="L6" authorId="0">
      <text>
        <r>
          <rPr>
            <sz val="10"/>
            <rFont val="Arial"/>
            <family val="2"/>
          </rPr>
          <t xml:space="preserve">2025: faqat 4-chorak hajmi olinadi = yillik hajm / 4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= bir aylanmadagi bosh soni x 6 (yiliga 6 aylanma)</t>
        </r>
      </text>
    </comment>
    <comment ref="B5" authorId="0">
      <text>
        <r>
          <rPr>
            <sz val="10"/>
            <rFont val="Arial"/>
            <family val="2"/>
          </rPr>
          <t xml:space="preserve">= yillik tovuq soni x 2.5 kg / 1000</t>
        </r>
      </text>
    </comment>
    <comment ref="B6" authorId="0">
      <text>
        <r>
          <rPr>
            <sz val="10"/>
            <rFont val="Arial"/>
            <family val="2"/>
          </rPr>
          <t xml:space="preserve">= hajm (t) x 1000 x 1 kg narx / 1 mlrd</t>
        </r>
      </text>
    </comment>
    <comment ref="B8" authorId="0">
      <text>
        <r>
          <rPr>
            <sz val="10"/>
            <rFont val="Arial"/>
            <family val="2"/>
          </rPr>
          <t xml:space="preserve">1 kg uchun tejalgan so'm — kiritiladi</t>
        </r>
      </text>
    </comment>
    <comment ref="B10" authorId="0">
      <text>
        <r>
          <rPr>
            <sz val="10"/>
            <rFont val="Arial"/>
            <family val="2"/>
          </rPr>
          <t xml:space="preserve">= bazaviy narx - loyihalar hisobiga iqtisod</t>
        </r>
      </text>
    </comment>
    <comment ref="B12" authorId="0">
      <text>
        <r>
          <rPr>
            <sz val="10"/>
            <rFont val="Arial"/>
            <family val="2"/>
          </rPr>
          <t xml:space="preserve">= kamaytirish (mlrd) / yillik aylanma (mlrd)</t>
        </r>
      </text>
    </comment>
    <comment ref="B13" authorId="0">
      <text>
        <r>
          <rPr>
            <sz val="10"/>
            <rFont val="Arial"/>
            <family val="2"/>
          </rPr>
          <t xml:space="preserve">'Yaratilgan qiymat 2025-2026' varag'idan olinadi</t>
        </r>
      </text>
    </comment>
    <comment ref="G11" authorId="0">
      <text>
        <r>
          <rPr>
            <sz val="10"/>
            <rFont val="Arial"/>
            <family val="2"/>
          </rPr>
          <t xml:space="preserve">Asl fayldagi qiymat (2,304 so'm/kg x ~3,000 t asosida). Kiritiladigan qiymat.</t>
        </r>
      </text>
    </comment>
  </commentList>
</comments>
</file>

<file path=xl/sharedStrings.xml><?xml version="1.0" encoding="utf-8"?>
<sst xmlns="http://schemas.openxmlformats.org/spreadsheetml/2006/main" count="72" uniqueCount="50">
  <si>
    <t xml:space="preserve">Tovuq (kg)</t>
  </si>
  <si>
    <t xml:space="preserve">Qo'shimcha qiymat</t>
  </si>
  <si>
    <t xml:space="preserve">Maxsulotdagi ulush</t>
  </si>
  <si>
    <t xml:space="preserve">Maxsulot (kg)</t>
  </si>
  <si>
    <t xml:space="preserve">Maxsulot 1 kg bozor narxi</t>
  </si>
  <si>
    <t xml:space="preserve">1 kg tovuqdan olinadigan qiymat (so'm)</t>
  </si>
  <si>
    <t xml:space="preserve">Qo'shilgan qiymat bilan 1 kg tovuq go'shti bozor narxi</t>
  </si>
  <si>
    <t xml:space="preserve">Qo'shilgan qiymatdan avvalgi tovuq go'shti narxi</t>
  </si>
  <si>
    <t xml:space="preserve">Bir kg tovuq go'shti uchun yaratilgan qiymat</t>
  </si>
  <si>
    <t xml:space="preserve">1 kg tovuq go'shti uchun xarajat</t>
  </si>
  <si>
    <t xml:space="preserve">1 kg tovuq go'shti uchun yakuniy yaratilgan qiymat</t>
  </si>
  <si>
    <t xml:space="preserve">1 kg tovuq go'shti uchun yakuniy yaratilgan qiymat (2025 yil, 4-chorak)</t>
  </si>
  <si>
    <t xml:space="preserve">Akorachka</t>
  </si>
  <si>
    <t xml:space="preserve">File</t>
  </si>
  <si>
    <t xml:space="preserve">Qanot</t>
  </si>
  <si>
    <t xml:space="preserve">Golen</t>
  </si>
  <si>
    <t xml:space="preserve">Bedro</t>
  </si>
  <si>
    <t xml:space="preserve">Drakon</t>
  </si>
  <si>
    <t xml:space="preserve">Teri</t>
  </si>
  <si>
    <t xml:space="preserve">Karkaz</t>
  </si>
  <si>
    <t xml:space="preserve">Qanot uchi</t>
  </si>
  <si>
    <t xml:space="preserve">Jami</t>
  </si>
  <si>
    <t xml:space="preserve">1 kg tovuq go'shti uchun yakuniy yaratilgan qiymat (2026 yil, to'liq yil)</t>
  </si>
  <si>
    <t xml:space="preserve">Izoh:</t>
  </si>
  <si>
    <t xml:space="preserve">Ko'k rangli kataklar — kiritiladigan qiymatlar (ulush, narx, tovuq soni, xarajat)</t>
  </si>
  <si>
    <t xml:space="preserve">Qora rangli kataklar — formulalar, avtomatik hisoblanadi</t>
  </si>
  <si>
    <t xml:space="preserve">2010</t>
  </si>
  <si>
    <t xml:space="preserve">2020</t>
  </si>
  <si>
    <t xml:space="preserve">2021</t>
  </si>
  <si>
    <t xml:space="preserve">2022</t>
  </si>
  <si>
    <t xml:space="preserve">2023</t>
  </si>
  <si>
    <t xml:space="preserve">2025</t>
  </si>
  <si>
    <t xml:space="preserve">2026</t>
  </si>
  <si>
    <t xml:space="preserve">2026-2027</t>
  </si>
  <si>
    <t xml:space="preserve">Istiqboldagi loyihalar</t>
  </si>
  <si>
    <t xml:space="preserve">Bir aylanmadagi tovuq bosh soni</t>
  </si>
  <si>
    <t xml:space="preserve">Bir yillik aylanmadagi tovuq soni</t>
  </si>
  <si>
    <t xml:space="preserve">Ishlab chiqarish hajmi (t)</t>
  </si>
  <si>
    <t xml:space="preserve">Bir yillik aylanma (mlrd so'm)</t>
  </si>
  <si>
    <t xml:space="preserve">Bir kilo tovuq go'sht narxi</t>
  </si>
  <si>
    <t xml:space="preserve">Ozuqa yem loyihasi xisobiga iqtisod</t>
  </si>
  <si>
    <t xml:space="preserve">Ona tovuq loyihasi xisobiga iqtisod</t>
  </si>
  <si>
    <t xml:space="preserve">Bir kilo tovuq go'shti narxi (loyihalardan so'ng)</t>
  </si>
  <si>
    <t xml:space="preserve">Yillik tannarxni kamaytirish (mlrd so'm)</t>
  </si>
  <si>
    <t xml:space="preserve">Yillik tannarxni kamaytirish (%)</t>
  </si>
  <si>
    <t xml:space="preserve">Yaratilgan qo'shimcha qiymat (mlrd so'm)</t>
  </si>
  <si>
    <t xml:space="preserve">Soliq imtiyozi (mlrd so'm)</t>
  </si>
  <si>
    <t xml:space="preserve">Ko'k rangli kataklar — kiritiladigan qiymatlar</t>
  </si>
  <si>
    <t xml:space="preserve">Yashil rangli kataklar — boshqa varaqdan olingan</t>
  </si>
  <si>
    <t xml:space="preserve">Qora rangli kataklar — formulalar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</si>
</sst>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0.0%"/>
    <numFmt numFmtId="168" formatCode="0.000"/>
    <numFmt numFmtId="169" formatCode="0%"/>
    <numFmt numFmtId="170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sz val="11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  <font>
      <b val="true"/>
      <sz val="11"/>
      <color rgb="FF008000"/>
      <name val="Calibri"/>
      <family val="0"/>
      <charset val="1"/>
    </font>
    <font>
      <sz val="10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DDEBF7"/>
        <bgColor rgb="FFE2EFDA"/>
      </patternFill>
    </fill>
    <fill>
      <patternFill patternType="solid">
        <fgColor rgb="FF92D050"/>
        <bgColor rgb="FFBFBFBF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9" min="7" style="0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8"/>
  </cols>
  <sheetData>
    <row r="2" customFormat="false" ht="15" hidden="false" customHeight="false" outlineLevel="0" collapsed="false">
      <c r="B2" s="1" t="n">
        <v>2025</v>
      </c>
    </row>
    <row r="3" customFormat="false" ht="15" hidden="false" customHeight="false" outlineLevel="0" collapsed="false">
      <c r="B3" s="2" t="s">
        <v>0</v>
      </c>
      <c r="C3" s="3" t="n">
        <v>2.5</v>
      </c>
      <c r="D3" s="4" t="n">
        <f aca="false">C3*E3</f>
        <v>12000000</v>
      </c>
      <c r="E3" s="5" t="n">
        <v>4800000</v>
      </c>
    </row>
    <row r="5" customFormat="false" ht="51.75" hidden="false" customHeight="true" outlineLevel="0" collapsed="false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</row>
    <row r="6" customFormat="false" ht="15" hidden="false" customHeight="false" outlineLevel="0" collapsed="false">
      <c r="B6" s="7" t="s">
        <v>12</v>
      </c>
      <c r="C6" s="8" t="n">
        <v>0.138</v>
      </c>
      <c r="D6" s="9" t="n">
        <f aca="false">C6*$C$3</f>
        <v>0.345</v>
      </c>
      <c r="E6" s="10" t="n">
        <v>24500</v>
      </c>
      <c r="F6" s="11" t="n">
        <f aca="false">D6*E6</f>
        <v>8452.5</v>
      </c>
      <c r="G6" s="12" t="n">
        <f aca="false">F15/$C$3</f>
        <v>26076</v>
      </c>
      <c r="H6" s="13" t="n">
        <v>20000</v>
      </c>
      <c r="I6" s="12" t="n">
        <f aca="false">G6-H6</f>
        <v>6076</v>
      </c>
      <c r="J6" s="13" t="n">
        <v>1000</v>
      </c>
      <c r="K6" s="12" t="n">
        <f aca="false">I6-J6</f>
        <v>5076</v>
      </c>
      <c r="L6" s="12" t="n">
        <f aca="false">K6*(D3/4)</f>
        <v>15228000000</v>
      </c>
    </row>
    <row r="7" customFormat="false" ht="15" hidden="false" customHeight="false" outlineLevel="0" collapsed="false">
      <c r="B7" s="7" t="s">
        <v>13</v>
      </c>
      <c r="C7" s="8" t="n">
        <v>0.356</v>
      </c>
      <c r="D7" s="9" t="n">
        <f aca="false">C7*$C$3</f>
        <v>0.89</v>
      </c>
      <c r="E7" s="10" t="n">
        <v>37500</v>
      </c>
      <c r="F7" s="11" t="n">
        <f aca="false">D7*E7</f>
        <v>33375</v>
      </c>
      <c r="G7" s="12"/>
      <c r="H7" s="12"/>
      <c r="I7" s="12"/>
      <c r="J7" s="12"/>
      <c r="K7" s="12"/>
      <c r="L7" s="12"/>
    </row>
    <row r="8" customFormat="false" ht="15" hidden="false" customHeight="false" outlineLevel="0" collapsed="false">
      <c r="B8" s="7" t="s">
        <v>14</v>
      </c>
      <c r="C8" s="8" t="n">
        <v>0.08</v>
      </c>
      <c r="D8" s="9" t="n">
        <f aca="false">C8*$C$3</f>
        <v>0.2</v>
      </c>
      <c r="E8" s="10" t="n">
        <v>34000</v>
      </c>
      <c r="F8" s="11" t="n">
        <f aca="false">D8*E8</f>
        <v>6800</v>
      </c>
      <c r="G8" s="12"/>
      <c r="H8" s="12"/>
      <c r="I8" s="12"/>
      <c r="J8" s="12"/>
      <c r="K8" s="12"/>
      <c r="L8" s="12"/>
    </row>
    <row r="9" customFormat="false" ht="15" hidden="false" customHeight="false" outlineLevel="0" collapsed="false">
      <c r="B9" s="7" t="s">
        <v>15</v>
      </c>
      <c r="C9" s="8" t="n">
        <v>0.07</v>
      </c>
      <c r="D9" s="9" t="n">
        <f aca="false">C9*$C$3</f>
        <v>0.175</v>
      </c>
      <c r="E9" s="10" t="n">
        <v>27000</v>
      </c>
      <c r="F9" s="11" t="n">
        <f aca="false">D9*E9</f>
        <v>4725</v>
      </c>
      <c r="G9" s="12"/>
      <c r="H9" s="12"/>
      <c r="I9" s="12"/>
      <c r="J9" s="12"/>
      <c r="K9" s="12"/>
      <c r="L9" s="12"/>
    </row>
    <row r="10" customFormat="false" ht="15" hidden="false" customHeight="false" outlineLevel="0" collapsed="false">
      <c r="B10" s="7" t="s">
        <v>16</v>
      </c>
      <c r="C10" s="8" t="n">
        <v>0.12</v>
      </c>
      <c r="D10" s="9" t="n">
        <f aca="false">C10*$C$3</f>
        <v>0.3</v>
      </c>
      <c r="E10" s="10" t="n">
        <v>27500</v>
      </c>
      <c r="F10" s="11" t="n">
        <f aca="false">D10*E10</f>
        <v>8250</v>
      </c>
      <c r="G10" s="12"/>
      <c r="H10" s="12"/>
      <c r="I10" s="12"/>
      <c r="J10" s="12"/>
      <c r="K10" s="12"/>
      <c r="L10" s="12"/>
    </row>
    <row r="11" customFormat="false" ht="15" hidden="false" customHeight="false" outlineLevel="0" collapsed="false">
      <c r="B11" s="7" t="s">
        <v>17</v>
      </c>
      <c r="C11" s="8" t="n">
        <v>0.12</v>
      </c>
      <c r="D11" s="9" t="n">
        <f aca="false">C11*$C$3</f>
        <v>0.3</v>
      </c>
      <c r="E11" s="10" t="n">
        <v>7500</v>
      </c>
      <c r="F11" s="11" t="n">
        <f aca="false">D11*E11</f>
        <v>2250</v>
      </c>
      <c r="G11" s="12"/>
      <c r="H11" s="12"/>
      <c r="I11" s="12"/>
      <c r="J11" s="12"/>
      <c r="K11" s="12"/>
      <c r="L11" s="12"/>
    </row>
    <row r="12" customFormat="false" ht="15" hidden="false" customHeight="false" outlineLevel="0" collapsed="false">
      <c r="B12" s="7" t="s">
        <v>18</v>
      </c>
      <c r="C12" s="8" t="n">
        <v>0.03</v>
      </c>
      <c r="D12" s="9" t="n">
        <f aca="false">C12*$C$3</f>
        <v>0.075</v>
      </c>
      <c r="E12" s="10" t="n">
        <v>9000</v>
      </c>
      <c r="F12" s="11" t="n">
        <f aca="false">D12*E12</f>
        <v>675</v>
      </c>
      <c r="G12" s="12"/>
      <c r="H12" s="12"/>
      <c r="I12" s="12"/>
      <c r="J12" s="12"/>
      <c r="K12" s="12"/>
      <c r="L12" s="12"/>
    </row>
    <row r="13" customFormat="false" ht="15" hidden="false" customHeight="false" outlineLevel="0" collapsed="false">
      <c r="B13" s="7" t="s">
        <v>19</v>
      </c>
      <c r="C13" s="8" t="n">
        <v>0.05</v>
      </c>
      <c r="D13" s="9" t="n">
        <f aca="false">C13*$C$3</f>
        <v>0.125</v>
      </c>
      <c r="E13" s="10" t="n">
        <v>4500</v>
      </c>
      <c r="F13" s="11" t="n">
        <f aca="false">D13*E13</f>
        <v>562.5</v>
      </c>
      <c r="G13" s="12"/>
      <c r="H13" s="12"/>
      <c r="I13" s="12"/>
      <c r="J13" s="12"/>
      <c r="K13" s="12"/>
      <c r="L13" s="12"/>
    </row>
    <row r="14" customFormat="false" ht="15" hidden="false" customHeight="false" outlineLevel="0" collapsed="false">
      <c r="B14" s="7" t="s">
        <v>20</v>
      </c>
      <c r="C14" s="8" t="n">
        <v>0.04</v>
      </c>
      <c r="D14" s="9" t="n">
        <f aca="false">C14*$C$3</f>
        <v>0.1</v>
      </c>
      <c r="E14" s="10" t="n">
        <v>1000</v>
      </c>
      <c r="F14" s="11" t="n">
        <f aca="false">D14*E14</f>
        <v>100</v>
      </c>
      <c r="G14" s="12"/>
      <c r="H14" s="12"/>
      <c r="I14" s="12"/>
      <c r="J14" s="12"/>
      <c r="K14" s="12"/>
      <c r="L14" s="12"/>
    </row>
    <row r="15" customFormat="false" ht="15" hidden="false" customHeight="false" outlineLevel="0" collapsed="false">
      <c r="B15" s="14" t="s">
        <v>21</v>
      </c>
      <c r="C15" s="15" t="n">
        <f aca="false">SUM(C6:C14)</f>
        <v>1.004</v>
      </c>
      <c r="D15" s="16" t="n">
        <f aca="false">SUM(D6:D14)</f>
        <v>2.51</v>
      </c>
      <c r="E15" s="17"/>
      <c r="F15" s="18" t="n">
        <f aca="false">SUM(F6:F14)</f>
        <v>65190</v>
      </c>
      <c r="G15" s="17"/>
      <c r="H15" s="17"/>
      <c r="I15" s="17"/>
      <c r="J15" s="17"/>
      <c r="K15" s="17"/>
      <c r="L15" s="17"/>
    </row>
    <row r="18" customFormat="false" ht="15" hidden="false" customHeight="false" outlineLevel="0" collapsed="false">
      <c r="B18" s="19" t="n">
        <v>2026</v>
      </c>
    </row>
    <row r="19" customFormat="false" ht="15" hidden="false" customHeight="false" outlineLevel="0" collapsed="false">
      <c r="B19" s="2" t="s">
        <v>0</v>
      </c>
      <c r="C19" s="3" t="n">
        <v>2.5</v>
      </c>
      <c r="D19" s="4" t="n">
        <f aca="false">C19*E19</f>
        <v>22500000</v>
      </c>
      <c r="E19" s="5" t="n">
        <v>9000000</v>
      </c>
    </row>
    <row r="21" customFormat="false" ht="51.75" hidden="false" customHeight="true" outlineLevel="0" collapsed="false"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  <c r="K21" s="6" t="s">
        <v>10</v>
      </c>
      <c r="L21" s="6" t="s">
        <v>22</v>
      </c>
    </row>
    <row r="22" customFormat="false" ht="15" hidden="false" customHeight="false" outlineLevel="0" collapsed="false">
      <c r="B22" s="7" t="s">
        <v>12</v>
      </c>
      <c r="C22" s="8" t="n">
        <v>0.138</v>
      </c>
      <c r="D22" s="9" t="n">
        <f aca="false">C22*$C$19</f>
        <v>0.345</v>
      </c>
      <c r="E22" s="10" t="n">
        <v>24500</v>
      </c>
      <c r="F22" s="11" t="n">
        <f aca="false">D22*E22</f>
        <v>8452.5</v>
      </c>
      <c r="G22" s="12" t="n">
        <f aca="false">F31/$C$19</f>
        <v>26076</v>
      </c>
      <c r="H22" s="13" t="n">
        <v>20000</v>
      </c>
      <c r="I22" s="12" t="n">
        <f aca="false">G22-H22</f>
        <v>6076</v>
      </c>
      <c r="J22" s="13" t="n">
        <v>1000</v>
      </c>
      <c r="K22" s="12" t="n">
        <f aca="false">I22-J22</f>
        <v>5076</v>
      </c>
      <c r="L22" s="12" t="n">
        <f aca="false">K22*D19</f>
        <v>114210000000</v>
      </c>
    </row>
    <row r="23" customFormat="false" ht="15" hidden="false" customHeight="false" outlineLevel="0" collapsed="false">
      <c r="B23" s="7" t="s">
        <v>13</v>
      </c>
      <c r="C23" s="8" t="n">
        <v>0.356</v>
      </c>
      <c r="D23" s="9" t="n">
        <f aca="false">C23*$C$19</f>
        <v>0.89</v>
      </c>
      <c r="E23" s="10" t="n">
        <v>37500</v>
      </c>
      <c r="F23" s="11" t="n">
        <f aca="false">D23*E23</f>
        <v>33375</v>
      </c>
      <c r="G23" s="12"/>
      <c r="H23" s="12"/>
      <c r="I23" s="12"/>
      <c r="J23" s="12"/>
      <c r="K23" s="12"/>
      <c r="L23" s="12"/>
    </row>
    <row r="24" customFormat="false" ht="15" hidden="false" customHeight="false" outlineLevel="0" collapsed="false">
      <c r="B24" s="7" t="s">
        <v>14</v>
      </c>
      <c r="C24" s="8" t="n">
        <v>0.08</v>
      </c>
      <c r="D24" s="9" t="n">
        <f aca="false">C24*$C$19</f>
        <v>0.2</v>
      </c>
      <c r="E24" s="10" t="n">
        <v>34000</v>
      </c>
      <c r="F24" s="11" t="n">
        <f aca="false">D24*E24</f>
        <v>6800</v>
      </c>
      <c r="G24" s="12"/>
      <c r="H24" s="12"/>
      <c r="I24" s="12"/>
      <c r="J24" s="12"/>
      <c r="K24" s="12"/>
      <c r="L24" s="12"/>
    </row>
    <row r="25" customFormat="false" ht="15" hidden="false" customHeight="false" outlineLevel="0" collapsed="false">
      <c r="B25" s="7" t="s">
        <v>15</v>
      </c>
      <c r="C25" s="8" t="n">
        <v>0.07</v>
      </c>
      <c r="D25" s="9" t="n">
        <f aca="false">C25*$C$19</f>
        <v>0.175</v>
      </c>
      <c r="E25" s="10" t="n">
        <v>27000</v>
      </c>
      <c r="F25" s="11" t="n">
        <f aca="false">D25*E25</f>
        <v>4725</v>
      </c>
      <c r="G25" s="12"/>
      <c r="H25" s="12"/>
      <c r="I25" s="12"/>
      <c r="J25" s="12"/>
      <c r="K25" s="12"/>
      <c r="L25" s="12"/>
    </row>
    <row r="26" customFormat="false" ht="15" hidden="false" customHeight="false" outlineLevel="0" collapsed="false">
      <c r="B26" s="7" t="s">
        <v>16</v>
      </c>
      <c r="C26" s="8" t="n">
        <v>0.12</v>
      </c>
      <c r="D26" s="9" t="n">
        <f aca="false">C26*$C$19</f>
        <v>0.3</v>
      </c>
      <c r="E26" s="10" t="n">
        <v>27500</v>
      </c>
      <c r="F26" s="11" t="n">
        <f aca="false">D26*E26</f>
        <v>8250</v>
      </c>
      <c r="G26" s="12"/>
      <c r="H26" s="12"/>
      <c r="I26" s="12"/>
      <c r="J26" s="12"/>
      <c r="K26" s="12"/>
      <c r="L26" s="12"/>
    </row>
    <row r="27" customFormat="false" ht="15" hidden="false" customHeight="false" outlineLevel="0" collapsed="false">
      <c r="B27" s="7" t="s">
        <v>17</v>
      </c>
      <c r="C27" s="8" t="n">
        <v>0.12</v>
      </c>
      <c r="D27" s="9" t="n">
        <f aca="false">C27*$C$19</f>
        <v>0.3</v>
      </c>
      <c r="E27" s="10" t="n">
        <v>7500</v>
      </c>
      <c r="F27" s="11" t="n">
        <f aca="false">D27*E27</f>
        <v>2250</v>
      </c>
      <c r="G27" s="12"/>
      <c r="H27" s="12"/>
      <c r="I27" s="12"/>
      <c r="J27" s="12"/>
      <c r="K27" s="12"/>
      <c r="L27" s="12"/>
    </row>
    <row r="28" customFormat="false" ht="15" hidden="false" customHeight="false" outlineLevel="0" collapsed="false">
      <c r="B28" s="7" t="s">
        <v>18</v>
      </c>
      <c r="C28" s="8" t="n">
        <v>0.03</v>
      </c>
      <c r="D28" s="9" t="n">
        <f aca="false">C28*$C$19</f>
        <v>0.075</v>
      </c>
      <c r="E28" s="10" t="n">
        <v>9000</v>
      </c>
      <c r="F28" s="11" t="n">
        <f aca="false">D28*E28</f>
        <v>675</v>
      </c>
      <c r="G28" s="12"/>
      <c r="H28" s="12"/>
      <c r="I28" s="12"/>
      <c r="J28" s="12"/>
      <c r="K28" s="12"/>
      <c r="L28" s="12"/>
    </row>
    <row r="29" customFormat="false" ht="15" hidden="false" customHeight="false" outlineLevel="0" collapsed="false">
      <c r="B29" s="7" t="s">
        <v>19</v>
      </c>
      <c r="C29" s="8" t="n">
        <v>0.05</v>
      </c>
      <c r="D29" s="9" t="n">
        <f aca="false">C29*$C$19</f>
        <v>0.125</v>
      </c>
      <c r="E29" s="10" t="n">
        <v>4500</v>
      </c>
      <c r="F29" s="11" t="n">
        <f aca="false">D29*E29</f>
        <v>562.5</v>
      </c>
      <c r="G29" s="12"/>
      <c r="H29" s="12"/>
      <c r="I29" s="12"/>
      <c r="J29" s="12"/>
      <c r="K29" s="12"/>
      <c r="L29" s="12"/>
    </row>
    <row r="30" customFormat="false" ht="15" hidden="false" customHeight="false" outlineLevel="0" collapsed="false">
      <c r="B30" s="7" t="s">
        <v>20</v>
      </c>
      <c r="C30" s="8" t="n">
        <v>0.04</v>
      </c>
      <c r="D30" s="9" t="n">
        <f aca="false">C30*$C$19</f>
        <v>0.1</v>
      </c>
      <c r="E30" s="10" t="n">
        <v>1000</v>
      </c>
      <c r="F30" s="11" t="n">
        <f aca="false">D30*E30</f>
        <v>100</v>
      </c>
      <c r="G30" s="12"/>
      <c r="H30" s="12"/>
      <c r="I30" s="12"/>
      <c r="J30" s="12"/>
      <c r="K30" s="12"/>
      <c r="L30" s="12"/>
    </row>
    <row r="31" customFormat="false" ht="15" hidden="false" customHeight="false" outlineLevel="0" collapsed="false">
      <c r="B31" s="14" t="s">
        <v>21</v>
      </c>
      <c r="C31" s="15" t="n">
        <f aca="false">SUM(C22:C30)</f>
        <v>1.004</v>
      </c>
      <c r="D31" s="16" t="n">
        <f aca="false">SUM(D22:D30)</f>
        <v>2.51</v>
      </c>
      <c r="E31" s="17"/>
      <c r="F31" s="18" t="n">
        <f aca="false">SUM(F22:F30)</f>
        <v>65190</v>
      </c>
      <c r="G31" s="17"/>
      <c r="H31" s="17"/>
      <c r="I31" s="17"/>
      <c r="J31" s="17"/>
      <c r="K31" s="17"/>
      <c r="L31" s="17"/>
    </row>
    <row r="33" customFormat="false" ht="15" hidden="false" customHeight="false" outlineLevel="0" collapsed="false">
      <c r="B33" s="2" t="s">
        <v>23</v>
      </c>
    </row>
    <row r="34" customFormat="false" ht="15" hidden="false" customHeight="false" outlineLevel="0" collapsed="false">
      <c r="B34" s="20" t="s">
        <v>24</v>
      </c>
    </row>
    <row r="35" customFormat="false" ht="15" hidden="false" customHeight="false" outlineLevel="0" collapsed="false">
      <c r="B35" s="21" t="s">
        <v>25</v>
      </c>
    </row>
  </sheetData>
  <mergeCells count="12">
    <mergeCell ref="G6:G14"/>
    <mergeCell ref="H6:H14"/>
    <mergeCell ref="I6:I14"/>
    <mergeCell ref="J6:J14"/>
    <mergeCell ref="K6:K14"/>
    <mergeCell ref="L6:L14"/>
    <mergeCell ref="G22:G30"/>
    <mergeCell ref="H22:H30"/>
    <mergeCell ref="I22:I30"/>
    <mergeCell ref="J22:J30"/>
    <mergeCell ref="K22:K30"/>
    <mergeCell ref="L22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0" min="3" style="0" width="12"/>
    <col collapsed="false" customWidth="true" hidden="false" outlineLevel="0" max="11" min="11" style="0" width="14"/>
  </cols>
  <sheetData>
    <row r="2" customFormat="false" ht="27.75" hidden="false" customHeight="true" outlineLevel="0" collapsed="false"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</row>
    <row r="3" customFormat="false" ht="15" hidden="false" customHeight="false" outlineLevel="0" collapsed="false">
      <c r="B3" s="7" t="s">
        <v>35</v>
      </c>
      <c r="C3" s="22"/>
      <c r="D3" s="22" t="n">
        <v>25000</v>
      </c>
      <c r="E3" s="22" t="n">
        <v>200000</v>
      </c>
      <c r="F3" s="22" t="n">
        <v>220000</v>
      </c>
      <c r="G3" s="22" t="n">
        <v>300000</v>
      </c>
      <c r="H3" s="22" t="n">
        <v>800000</v>
      </c>
      <c r="I3" s="22" t="n">
        <v>1500000</v>
      </c>
      <c r="J3" s="22" t="n">
        <v>4000000</v>
      </c>
      <c r="K3" s="22"/>
    </row>
    <row r="4" customFormat="false" ht="15" hidden="false" customHeight="false" outlineLevel="0" collapsed="false">
      <c r="B4" s="7" t="s">
        <v>36</v>
      </c>
      <c r="C4" s="23" t="n">
        <f aca="false">IF(C3="",0,C3*6)</f>
        <v>0</v>
      </c>
      <c r="D4" s="23" t="n">
        <f aca="false">IF(D3="",0,D3*6)</f>
        <v>150000</v>
      </c>
      <c r="E4" s="23" t="n">
        <f aca="false">IF(E3="",0,E3*6)</f>
        <v>1200000</v>
      </c>
      <c r="F4" s="23" t="n">
        <f aca="false">IF(F3="",0,F3*6)</f>
        <v>1320000</v>
      </c>
      <c r="G4" s="23" t="n">
        <f aca="false">IF(G3="",0,G3*6)</f>
        <v>1800000</v>
      </c>
      <c r="H4" s="23" t="n">
        <f aca="false">IF(H3="",0,H3*6)</f>
        <v>4800000</v>
      </c>
      <c r="I4" s="23" t="n">
        <f aca="false">IF(I3="",0,I3*6)</f>
        <v>9000000</v>
      </c>
      <c r="J4" s="23" t="n">
        <f aca="false">IF(J3="",0,J3*6)</f>
        <v>24000000</v>
      </c>
      <c r="K4" s="23" t="n">
        <f aca="false">IF(K3="",0,K3*6)</f>
        <v>0</v>
      </c>
    </row>
    <row r="5" customFormat="false" ht="15" hidden="false" customHeight="false" outlineLevel="0" collapsed="false">
      <c r="B5" s="7" t="s">
        <v>37</v>
      </c>
      <c r="C5" s="23" t="n">
        <f aca="false">C4*2.5/1000</f>
        <v>0</v>
      </c>
      <c r="D5" s="23" t="n">
        <f aca="false">D4*2.5/1000</f>
        <v>375</v>
      </c>
      <c r="E5" s="23" t="n">
        <f aca="false">E4*2.5/1000</f>
        <v>3000</v>
      </c>
      <c r="F5" s="23" t="n">
        <f aca="false">F4*2.5/1000</f>
        <v>3300</v>
      </c>
      <c r="G5" s="23" t="n">
        <f aca="false">G4*2.5/1000</f>
        <v>4500</v>
      </c>
      <c r="H5" s="23" t="n">
        <f aca="false">H4*2.5/1000</f>
        <v>12000</v>
      </c>
      <c r="I5" s="23" t="n">
        <f aca="false">I4*2.5/1000</f>
        <v>22500</v>
      </c>
      <c r="J5" s="23" t="n">
        <f aca="false">J4*2.5/1000</f>
        <v>60000</v>
      </c>
      <c r="K5" s="23" t="n">
        <f aca="false">K4*2.5/1000</f>
        <v>0</v>
      </c>
    </row>
    <row r="6" customFormat="false" ht="15" hidden="false" customHeight="false" outlineLevel="0" collapsed="false">
      <c r="B6" s="24" t="s">
        <v>38</v>
      </c>
      <c r="C6" s="25" t="n">
        <f aca="false">C5*1000*C7/1000000000</f>
        <v>0</v>
      </c>
      <c r="D6" s="25" t="n">
        <f aca="false">D5*1000*D7/1000000000</f>
        <v>7.5</v>
      </c>
      <c r="E6" s="25" t="n">
        <f aca="false">E5*1000*E7/1000000000</f>
        <v>60</v>
      </c>
      <c r="F6" s="25" t="n">
        <f aca="false">F5*1000*F7/1000000000</f>
        <v>66</v>
      </c>
      <c r="G6" s="25" t="n">
        <f aca="false">G5*1000*G7/1000000000</f>
        <v>90</v>
      </c>
      <c r="H6" s="25" t="n">
        <f aca="false">H5*1000*H7/1000000000</f>
        <v>240</v>
      </c>
      <c r="I6" s="25" t="n">
        <f aca="false">I5*1000*I7/1000000000</f>
        <v>450</v>
      </c>
      <c r="J6" s="25" t="n">
        <f aca="false">J5*1000*J7/1000000000</f>
        <v>1200</v>
      </c>
      <c r="K6" s="25" t="n">
        <f aca="false">K5*1000*K7/1000000000</f>
        <v>0</v>
      </c>
    </row>
    <row r="7" customFormat="false" ht="15" hidden="false" customHeight="false" outlineLevel="0" collapsed="false">
      <c r="B7" s="7" t="s">
        <v>39</v>
      </c>
      <c r="C7" s="22" t="n">
        <v>20000</v>
      </c>
      <c r="D7" s="22" t="n">
        <v>20000</v>
      </c>
      <c r="E7" s="22" t="n">
        <v>20000</v>
      </c>
      <c r="F7" s="22" t="n">
        <v>20000</v>
      </c>
      <c r="G7" s="22" t="n">
        <v>20000</v>
      </c>
      <c r="H7" s="22" t="n">
        <v>20000</v>
      </c>
      <c r="I7" s="22" t="n">
        <v>20000</v>
      </c>
      <c r="J7" s="22" t="n">
        <v>20000</v>
      </c>
      <c r="K7" s="22" t="n">
        <v>20000</v>
      </c>
    </row>
    <row r="8" customFormat="false" ht="15" hidden="false" customHeight="false" outlineLevel="0" collapsed="false">
      <c r="B8" s="26" t="s">
        <v>40</v>
      </c>
      <c r="C8" s="27"/>
      <c r="D8" s="27"/>
      <c r="E8" s="27"/>
      <c r="F8" s="27"/>
      <c r="G8" s="27" t="n">
        <v>2304</v>
      </c>
      <c r="H8" s="27"/>
      <c r="I8" s="27"/>
      <c r="J8" s="27"/>
      <c r="K8" s="27"/>
    </row>
    <row r="9" customFormat="false" ht="15" hidden="false" customHeight="false" outlineLevel="0" collapsed="false">
      <c r="B9" s="26" t="s">
        <v>41</v>
      </c>
      <c r="C9" s="27"/>
      <c r="D9" s="27"/>
      <c r="E9" s="27"/>
      <c r="F9" s="27"/>
      <c r="G9" s="27"/>
      <c r="H9" s="27"/>
      <c r="I9" s="27"/>
      <c r="J9" s="27"/>
      <c r="K9" s="27"/>
    </row>
    <row r="10" customFormat="false" ht="15" hidden="false" customHeight="false" outlineLevel="0" collapsed="false">
      <c r="B10" s="28" t="s">
        <v>42</v>
      </c>
      <c r="C10" s="29" t="str">
        <f aca="false">IF(C8+C9=0,"",C7-C8-C9)</f>
        <v/>
      </c>
      <c r="D10" s="29" t="str">
        <f aca="false">IF(D8+D9=0,"",D7-D8-D9)</f>
        <v/>
      </c>
      <c r="E10" s="29" t="str">
        <f aca="false">IF(E8+E9=0,"",E7-E8-E9)</f>
        <v/>
      </c>
      <c r="F10" s="29" t="str">
        <f aca="false">IF(F8+F9=0,"",F7-F8-F9)</f>
        <v/>
      </c>
      <c r="G10" s="29" t="n">
        <f aca="false">IF(G8+G9=0,"",G7-G8-G9)</f>
        <v>17696</v>
      </c>
      <c r="H10" s="29" t="str">
        <f aca="false">IF(H8+H9=0,"",H7-H8-H9)</f>
        <v/>
      </c>
      <c r="I10" s="29" t="str">
        <f aca="false">IF(I8+I9=0,"",I7-I8-I9)</f>
        <v/>
      </c>
      <c r="J10" s="29" t="str">
        <f aca="false">IF(J8+J9=0,"",J7-J8-J9)</f>
        <v/>
      </c>
      <c r="K10" s="29" t="str">
        <f aca="false">IF(K8+K9=0,"",K7-K8-K9)</f>
        <v/>
      </c>
    </row>
    <row r="11" customFormat="false" ht="15" hidden="false" customHeight="false" outlineLevel="0" collapsed="false">
      <c r="B11" s="7" t="s">
        <v>43</v>
      </c>
      <c r="C11" s="30"/>
      <c r="D11" s="30"/>
      <c r="E11" s="30"/>
      <c r="F11" s="30"/>
      <c r="G11" s="31" t="n">
        <v>6.9</v>
      </c>
      <c r="H11" s="30"/>
      <c r="I11" s="30"/>
      <c r="J11" s="30"/>
      <c r="K11" s="30"/>
    </row>
    <row r="12" customFormat="false" ht="15" hidden="false" customHeight="false" outlineLevel="0" collapsed="false">
      <c r="B12" s="7" t="s">
        <v>44</v>
      </c>
      <c r="C12" s="32" t="str">
        <f aca="false">IFERROR(C11/C6,"")</f>
        <v/>
      </c>
      <c r="D12" s="32" t="n">
        <f aca="false">IFERROR(D11/D6,"")</f>
        <v>0</v>
      </c>
      <c r="E12" s="32" t="n">
        <f aca="false">IFERROR(E11/E6,"")</f>
        <v>0</v>
      </c>
      <c r="F12" s="32" t="n">
        <f aca="false">IFERROR(F11/F6,"")</f>
        <v>0</v>
      </c>
      <c r="G12" s="32" t="n">
        <f aca="false">IFERROR(G11/G6,"")</f>
        <v>0.0766666666666667</v>
      </c>
      <c r="H12" s="32" t="n">
        <f aca="false">IFERROR(H11/H6,"")</f>
        <v>0</v>
      </c>
      <c r="I12" s="32" t="n">
        <f aca="false">IFERROR(I11/I6,"")</f>
        <v>0</v>
      </c>
      <c r="J12" s="32" t="n">
        <f aca="false">IFERROR(J11/J6,"")</f>
        <v>0</v>
      </c>
      <c r="K12" s="32" t="str">
        <f aca="false">IFERROR(K11/K6,"")</f>
        <v/>
      </c>
    </row>
    <row r="13" customFormat="false" ht="15" hidden="false" customHeight="false" outlineLevel="0" collapsed="false">
      <c r="B13" s="7" t="s">
        <v>45</v>
      </c>
      <c r="C13" s="33"/>
      <c r="D13" s="33"/>
      <c r="E13" s="33"/>
      <c r="F13" s="33"/>
      <c r="G13" s="33"/>
      <c r="H13" s="34" t="n">
        <f aca="false">'Yaratilgan qiymat 2025-2026'!L6/1000000000</f>
        <v>15.228</v>
      </c>
      <c r="I13" s="34" t="n">
        <f aca="false">'Yaratilgan qiymat 2025-2026'!L22/1000000000</f>
        <v>114.21</v>
      </c>
      <c r="J13" s="33"/>
      <c r="K13" s="33"/>
    </row>
    <row r="14" customFormat="false" ht="15" hidden="false" customHeight="false" outlineLevel="0" collapsed="false">
      <c r="B14" s="7" t="s">
        <v>46</v>
      </c>
      <c r="C14" s="33"/>
      <c r="D14" s="33"/>
      <c r="E14" s="33"/>
      <c r="F14" s="33"/>
      <c r="G14" s="33"/>
      <c r="H14" s="31" t="n">
        <v>8</v>
      </c>
      <c r="I14" s="31" t="n">
        <v>31.4</v>
      </c>
      <c r="J14" s="33"/>
      <c r="K14" s="33"/>
    </row>
    <row r="17" customFormat="false" ht="15" hidden="false" customHeight="false" outlineLevel="0" collapsed="false">
      <c r="B17" s="2" t="s">
        <v>23</v>
      </c>
    </row>
    <row r="18" customFormat="false" ht="15" hidden="false" customHeight="false" outlineLevel="0" collapsed="false">
      <c r="B18" s="20" t="s">
        <v>47</v>
      </c>
    </row>
    <row r="19" customFormat="false" ht="15" hidden="false" customHeight="false" outlineLevel="0" collapsed="false">
      <c r="B19" s="35" t="s">
        <v>48</v>
      </c>
    </row>
    <row r="20" customFormat="false" ht="15" hidden="false" customHeight="false" outlineLevel="0" collapsed="false">
      <c r="B20" s="2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2026-09-11T20:32:49Z</dcterms:created>
  <dc:creator>openpyxl</dc:creator>
  <dc:description/>
  <dc:language>en-US</dc:language>
  <cp:lastModifiedBy/>
  <dcterms:modified xsi:type="dcterms:W3CDTF">2026-09-11T20:32:49Z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